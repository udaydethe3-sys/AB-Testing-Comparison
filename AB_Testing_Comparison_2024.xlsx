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 Testing Data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4057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2E4057"/>
      <sz val="14"/>
    </font>
    <font>
      <name val="Arial"/>
      <b val="1"/>
      <color rgb="00FFFFFF"/>
      <sz val="10"/>
    </font>
    <font>
      <name val="Arial"/>
      <b val="1"/>
      <color rgb="002E4057"/>
      <sz val="13"/>
    </font>
    <font>
      <name val="Arial"/>
      <b val="1"/>
      <color rgb="002E4057"/>
      <sz val="11"/>
    </font>
    <font>
      <name val="Arial"/>
      <color rgb="002E4057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9C74F"/>
      </patternFill>
    </fill>
    <fill>
      <patternFill patternType="solid">
        <fgColor rgb="00EAF4F4"/>
      </patternFill>
    </fill>
    <fill>
      <patternFill patternType="solid">
        <fgColor rgb="00048A81"/>
      </patternFill>
    </fill>
    <fill>
      <patternFill patternType="solid">
        <fgColor rgb="0054C6EB"/>
      </patternFill>
    </fill>
    <fill>
      <patternFill patternType="solid">
        <fgColor rgb="00E94F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1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A/B Conversion Rate Comparison (Weekly)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 Testing Data'!D2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'AB Testing Data'!$A$3:$A$14</f>
            </numRef>
          </cat>
          <val>
            <numRef>
              <f>'AB Testing Data'!$D$3:$D$14</f>
            </numRef>
          </val>
        </ser>
        <ser>
          <idx val="1"/>
          <order val="1"/>
          <tx>
            <strRef>
              <f>'AB Testing Data'!G2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'AB Testing Data'!$A$3:$A$14</f>
            </numRef>
          </cat>
          <val>
            <numRef>
              <f>'AB Testing Data'!$G$3:$G$14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Conversions — Version A vs Version 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 Testing Data'!C2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'AB Testing Data'!$A$3:$A$14</f>
            </numRef>
          </cat>
          <val>
            <numRef>
              <f>'AB Testing Data'!$C$3:$C$14</f>
            </numRef>
          </val>
        </ser>
        <ser>
          <idx val="1"/>
          <order val="1"/>
          <tx>
            <strRef>
              <f>'AB Testing Data'!F2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'AB Testing Data'!$A$3:$A$14</f>
            </numRef>
          </cat>
          <val>
            <numRef>
              <f>'AB Testing Data'!$F$3:$F$14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93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18" customWidth="1" min="5" max="5"/>
    <col width="20" customWidth="1" min="6" max="6"/>
    <col width="16" customWidth="1" min="7" max="7"/>
    <col width="16" customWidth="1" min="8" max="8"/>
  </cols>
  <sheetData>
    <row r="1" ht="35" customHeight="1">
      <c r="A1" s="1" t="inlineStr">
        <is>
          <t>A/B Testing Comparison Report — 2024</t>
        </is>
      </c>
    </row>
    <row r="2" ht="25" customHeight="1">
      <c r="A2" s="2" t="inlineStr">
        <is>
          <t>Week</t>
        </is>
      </c>
      <c r="B2" s="2" t="inlineStr">
        <is>
          <t>Version A Visitors</t>
        </is>
      </c>
      <c r="C2" s="2" t="inlineStr">
        <is>
          <t>Version A Conversions</t>
        </is>
      </c>
      <c r="D2" s="2" t="inlineStr">
        <is>
          <t>Version A Rate %</t>
        </is>
      </c>
      <c r="E2" s="2" t="inlineStr">
        <is>
          <t>Version B Visitors</t>
        </is>
      </c>
      <c r="F2" s="2" t="inlineStr">
        <is>
          <t>Version B Conversions</t>
        </is>
      </c>
      <c r="G2" s="2" t="inlineStr">
        <is>
          <t>Version B Rate %</t>
        </is>
      </c>
      <c r="H2" s="2" t="inlineStr">
        <is>
          <t>Winner</t>
        </is>
      </c>
    </row>
    <row r="3" ht="20" customHeight="1">
      <c r="A3" s="3" t="inlineStr">
        <is>
          <t>Week 1</t>
        </is>
      </c>
      <c r="B3" s="4" t="n">
        <v>1000</v>
      </c>
      <c r="C3" s="3" t="n">
        <v>45</v>
      </c>
      <c r="D3" s="5">
        <f>C3/B3</f>
        <v/>
      </c>
      <c r="E3" s="4" t="n">
        <v>1000</v>
      </c>
      <c r="F3" s="3" t="n">
        <v>62</v>
      </c>
      <c r="G3" s="5">
        <f>F3/E3</f>
        <v/>
      </c>
      <c r="H3" s="3">
        <f>IF(D3&gt;G3,"Version A","Version B")</f>
        <v/>
      </c>
    </row>
    <row r="4" ht="20" customHeight="1">
      <c r="A4" s="6" t="inlineStr">
        <is>
          <t>Week 2</t>
        </is>
      </c>
      <c r="B4" s="7" t="n">
        <v>1200</v>
      </c>
      <c r="C4" s="6" t="n">
        <v>58</v>
      </c>
      <c r="D4" s="8">
        <f>C4/B4</f>
        <v/>
      </c>
      <c r="E4" s="7" t="n">
        <v>1200</v>
      </c>
      <c r="F4" s="6" t="n">
        <v>75</v>
      </c>
      <c r="G4" s="8">
        <f>F4/E4</f>
        <v/>
      </c>
      <c r="H4" s="6">
        <f>IF(D4&gt;G4,"Version A","Version B")</f>
        <v/>
      </c>
    </row>
    <row r="5" ht="20" customHeight="1">
      <c r="A5" s="3" t="inlineStr">
        <is>
          <t>Week 3</t>
        </is>
      </c>
      <c r="B5" s="4" t="n">
        <v>980</v>
      </c>
      <c r="C5" s="3" t="n">
        <v>42</v>
      </c>
      <c r="D5" s="5">
        <f>C5/B5</f>
        <v/>
      </c>
      <c r="E5" s="4" t="n">
        <v>980</v>
      </c>
      <c r="F5" s="3" t="n">
        <v>58</v>
      </c>
      <c r="G5" s="5">
        <f>F5/E5</f>
        <v/>
      </c>
      <c r="H5" s="3">
        <f>IF(D5&gt;G5,"Version A","Version B")</f>
        <v/>
      </c>
    </row>
    <row r="6" ht="20" customHeight="1">
      <c r="A6" s="6" t="inlineStr">
        <is>
          <t>Week 4</t>
        </is>
      </c>
      <c r="B6" s="7" t="n">
        <v>1100</v>
      </c>
      <c r="C6" s="6" t="n">
        <v>55</v>
      </c>
      <c r="D6" s="8">
        <f>C6/B6</f>
        <v/>
      </c>
      <c r="E6" s="7" t="n">
        <v>1100</v>
      </c>
      <c r="F6" s="6" t="n">
        <v>72</v>
      </c>
      <c r="G6" s="8">
        <f>F6/E6</f>
        <v/>
      </c>
      <c r="H6" s="6">
        <f>IF(D6&gt;G6,"Version A","Version B")</f>
        <v/>
      </c>
    </row>
    <row r="7" ht="20" customHeight="1">
      <c r="A7" s="3" t="inlineStr">
        <is>
          <t>Week 5</t>
        </is>
      </c>
      <c r="B7" s="4" t="n">
        <v>1050</v>
      </c>
      <c r="C7" s="3" t="n">
        <v>50</v>
      </c>
      <c r="D7" s="5">
        <f>C7/B7</f>
        <v/>
      </c>
      <c r="E7" s="4" t="n">
        <v>1050</v>
      </c>
      <c r="F7" s="3" t="n">
        <v>68</v>
      </c>
      <c r="G7" s="5">
        <f>F7/E7</f>
        <v/>
      </c>
      <c r="H7" s="3">
        <f>IF(D7&gt;G7,"Version A","Version B")</f>
        <v/>
      </c>
    </row>
    <row r="8" ht="20" customHeight="1">
      <c r="A8" s="6" t="inlineStr">
        <is>
          <t>Week 6</t>
        </is>
      </c>
      <c r="B8" s="7" t="n">
        <v>1300</v>
      </c>
      <c r="C8" s="6" t="n">
        <v>68</v>
      </c>
      <c r="D8" s="8">
        <f>C8/B8</f>
        <v/>
      </c>
      <c r="E8" s="7" t="n">
        <v>1300</v>
      </c>
      <c r="F8" s="6" t="n">
        <v>89</v>
      </c>
      <c r="G8" s="8">
        <f>F8/E8</f>
        <v/>
      </c>
      <c r="H8" s="6">
        <f>IF(D8&gt;G8,"Version A","Version B")</f>
        <v/>
      </c>
    </row>
    <row r="9" ht="20" customHeight="1">
      <c r="A9" s="3" t="inlineStr">
        <is>
          <t>Week 7</t>
        </is>
      </c>
      <c r="B9" s="4" t="n">
        <v>1150</v>
      </c>
      <c r="C9" s="3" t="n">
        <v>54</v>
      </c>
      <c r="D9" s="5">
        <f>C9/B9</f>
        <v/>
      </c>
      <c r="E9" s="4" t="n">
        <v>1150</v>
      </c>
      <c r="F9" s="3" t="n">
        <v>74</v>
      </c>
      <c r="G9" s="5">
        <f>F9/E9</f>
        <v/>
      </c>
      <c r="H9" s="3">
        <f>IF(D9&gt;G9,"Version A","Version B")</f>
        <v/>
      </c>
    </row>
    <row r="10" ht="20" customHeight="1">
      <c r="A10" s="6" t="inlineStr">
        <is>
          <t>Week 8</t>
        </is>
      </c>
      <c r="B10" s="7" t="n">
        <v>1250</v>
      </c>
      <c r="C10" s="6" t="n">
        <v>62</v>
      </c>
      <c r="D10" s="8">
        <f>C10/B10</f>
        <v/>
      </c>
      <c r="E10" s="7" t="n">
        <v>1250</v>
      </c>
      <c r="F10" s="6" t="n">
        <v>85</v>
      </c>
      <c r="G10" s="8">
        <f>F10/E10</f>
        <v/>
      </c>
      <c r="H10" s="6">
        <f>IF(D10&gt;G10,"Version A","Version B")</f>
        <v/>
      </c>
    </row>
    <row r="11" ht="20" customHeight="1">
      <c r="A11" s="3" t="inlineStr">
        <is>
          <t>Week 9</t>
        </is>
      </c>
      <c r="B11" s="4" t="n">
        <v>1080</v>
      </c>
      <c r="C11" s="3" t="n">
        <v>48</v>
      </c>
      <c r="D11" s="5">
        <f>C11/B11</f>
        <v/>
      </c>
      <c r="E11" s="4" t="n">
        <v>1080</v>
      </c>
      <c r="F11" s="3" t="n">
        <v>65</v>
      </c>
      <c r="G11" s="5">
        <f>F11/E11</f>
        <v/>
      </c>
      <c r="H11" s="3">
        <f>IF(D11&gt;G11,"Version A","Version B")</f>
        <v/>
      </c>
    </row>
    <row r="12" ht="20" customHeight="1">
      <c r="A12" s="6" t="inlineStr">
        <is>
          <t>Week 10</t>
        </is>
      </c>
      <c r="B12" s="7" t="n">
        <v>1200</v>
      </c>
      <c r="C12" s="6" t="n">
        <v>57</v>
      </c>
      <c r="D12" s="8">
        <f>C12/B12</f>
        <v/>
      </c>
      <c r="E12" s="7" t="n">
        <v>1200</v>
      </c>
      <c r="F12" s="6" t="n">
        <v>78</v>
      </c>
      <c r="G12" s="8">
        <f>F12/E12</f>
        <v/>
      </c>
      <c r="H12" s="6">
        <f>IF(D12&gt;G12,"Version A","Version B")</f>
        <v/>
      </c>
    </row>
    <row r="13" ht="20" customHeight="1">
      <c r="A13" s="3" t="inlineStr">
        <is>
          <t>Week 11</t>
        </is>
      </c>
      <c r="B13" s="4" t="n">
        <v>1350</v>
      </c>
      <c r="C13" s="3" t="n">
        <v>70</v>
      </c>
      <c r="D13" s="5">
        <f>C13/B13</f>
        <v/>
      </c>
      <c r="E13" s="4" t="n">
        <v>1350</v>
      </c>
      <c r="F13" s="3" t="n">
        <v>95</v>
      </c>
      <c r="G13" s="5">
        <f>F13/E13</f>
        <v/>
      </c>
      <c r="H13" s="3">
        <f>IF(D13&gt;G13,"Version A","Version B")</f>
        <v/>
      </c>
    </row>
    <row r="14" ht="20" customHeight="1">
      <c r="A14" s="6" t="inlineStr">
        <is>
          <t>Week 12</t>
        </is>
      </c>
      <c r="B14" s="7" t="n">
        <v>1400</v>
      </c>
      <c r="C14" s="6" t="n">
        <v>75</v>
      </c>
      <c r="D14" s="8">
        <f>C14/B14</f>
        <v/>
      </c>
      <c r="E14" s="7" t="n">
        <v>1400</v>
      </c>
      <c r="F14" s="6" t="n">
        <v>102</v>
      </c>
      <c r="G14" s="8">
        <f>F14/E14</f>
        <v/>
      </c>
      <c r="H14" s="6">
        <f>IF(D14&gt;G14,"Version A","Version B")</f>
        <v/>
      </c>
    </row>
    <row r="15" ht="22" customHeight="1">
      <c r="A15" s="9" t="inlineStr">
        <is>
          <t>TOTAL</t>
        </is>
      </c>
      <c r="B15" s="10">
        <f>SUM(B3:B14)</f>
        <v/>
      </c>
      <c r="C15" s="10">
        <f>SUM(C3:C14)</f>
        <v/>
      </c>
      <c r="D15" s="11">
        <f>C15/B15</f>
        <v/>
      </c>
      <c r="E15" s="10">
        <f>SUM(E3:E14)</f>
        <v/>
      </c>
      <c r="F15" s="10">
        <f>SUM(F3:F14)</f>
        <v/>
      </c>
      <c r="G15" s="11">
        <f>F15/E15</f>
        <v/>
      </c>
      <c r="H15" s="9">
        <f>IF(D15&gt;G15,"Version A Wins","Version B Wins")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2" t="inlineStr">
        <is>
          <t>A/B Testing — Summary Dashboard</t>
        </is>
      </c>
    </row>
    <row r="2" ht="22" customHeight="1">
      <c r="A2" s="13" t="inlineStr">
        <is>
          <t>Version A Conv. Rate</t>
        </is>
      </c>
      <c r="B2" s="14" t="inlineStr">
        <is>
          <t>Version B Conv. Rate</t>
        </is>
      </c>
      <c r="C2" s="15" t="inlineStr">
        <is>
          <t>Total A Conversions</t>
        </is>
      </c>
      <c r="D2" s="16" t="inlineStr">
        <is>
          <t>Total B Conversions</t>
        </is>
      </c>
    </row>
    <row r="3" ht="30" customHeight="1">
      <c r="A3" s="17">
        <f>'AB Testing Data'!D15</f>
        <v/>
      </c>
      <c r="B3" s="17">
        <f>'AB Testing Data'!G15</f>
        <v/>
      </c>
      <c r="C3" s="18">
        <f>'AB Testing Data'!C15</f>
        <v/>
      </c>
      <c r="D3" s="18">
        <f>'AB Testing Data'!F15</f>
        <v/>
      </c>
    </row>
    <row r="5" ht="20" customHeight="1">
      <c r="A5" s="19" t="inlineStr">
        <is>
          <t>Key Insights</t>
        </is>
      </c>
    </row>
    <row r="6" ht="20" customHeight="1">
      <c r="A6" s="20" t="inlineStr">
        <is>
          <t>Version B outperformed Version A in all 12 weeks.</t>
        </is>
      </c>
    </row>
    <row r="7" ht="20" customHeight="1">
      <c r="A7" s="20" t="inlineStr">
        <is>
          <t>Version B had a consistently higher conversion rate throughout.</t>
        </is>
      </c>
    </row>
    <row r="8" ht="20" customHeight="1">
      <c r="A8" s="20" t="inlineStr">
        <is>
          <t>Recommended to deploy Version B as the final design.</t>
        </is>
      </c>
    </row>
    <row r="9" ht="20" customHeight="1">
      <c r="A9" s="20" t="inlineStr">
        <is>
          <t>Both versions had equal visitor traffic — fair comparison ensured.</t>
        </is>
      </c>
    </row>
  </sheetData>
  <mergeCells count="6">
    <mergeCell ref="A1:D1"/>
    <mergeCell ref="A5:D5"/>
    <mergeCell ref="A9:D9"/>
    <mergeCell ref="A8:D8"/>
    <mergeCell ref="A6:D6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2026-06-05T06:06:11Z</dcterms:created>
  <dcterms:modified xmlns:dcterms="http://purl.org/dc/terms/" xmlns:xsi="http://www.w3.org/2001/XMLSchema-instance" xsi:type="dcterms:W3CDTF">2026-06-05T06:06:11Z</dcterms:modified>
</cp:coreProperties>
</file>